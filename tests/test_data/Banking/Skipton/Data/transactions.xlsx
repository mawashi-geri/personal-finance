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Code/PersonalFinance/personal-finance/tests/test_data/Banking/Skipton/Data/"/>
    </mc:Choice>
  </mc:AlternateContent>
  <xr:revisionPtr revIDLastSave="0" documentId="13_ncr:1_{FC160996-EF20-1A45-9FA2-6897D45E6D24}" xr6:coauthVersionLast="47" xr6:coauthVersionMax="47" xr10:uidLastSave="{00000000-0000-0000-0000-000000000000}"/>
  <bookViews>
    <workbookView xWindow="-54720" yWindow="-8520" windowWidth="34560" windowHeight="21580" xr2:uid="{C461FC9C-D98C-0E43-AE3E-89D5F91DCD76}"/>
  </bookViews>
  <sheets>
    <sheet name="transactions" sheetId="1" r:id="rId1"/>
    <sheet name="lookups" sheetId="2" r:id="rId2"/>
  </sheets>
  <definedNames>
    <definedName name="_xlnm._FilterDatabase" localSheetId="0" hidden="1">transactions!$B$1:$J$4</definedName>
    <definedName name="categories">lookups!$D$1:$E$11</definedName>
    <definedName name="taxYears">lookups!$A$1:$B$11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G2" i="1"/>
  <c r="G3" i="1"/>
  <c r="G4" i="1"/>
  <c r="J4" i="1" s="1"/>
  <c r="I2" i="1"/>
  <c r="I3" i="1"/>
  <c r="I4" i="1"/>
  <c r="J3" i="1" l="1"/>
  <c r="J2" i="1"/>
</calcChain>
</file>

<file path=xl/sharedStrings.xml><?xml version="1.0" encoding="utf-8"?>
<sst xmlns="http://schemas.openxmlformats.org/spreadsheetml/2006/main" count="32" uniqueCount="25">
  <si>
    <t>Date</t>
  </si>
  <si>
    <t>Description</t>
  </si>
  <si>
    <t>Money In</t>
  </si>
  <si>
    <t>Money Out</t>
  </si>
  <si>
    <t>Balance</t>
  </si>
  <si>
    <t>BANK PAYMENT</t>
  </si>
  <si>
    <t>INT COMPOUND</t>
  </si>
  <si>
    <t>INT CAPISED</t>
  </si>
  <si>
    <t>FP Wdl No Penalty</t>
  </si>
  <si>
    <t>Tax year</t>
  </si>
  <si>
    <t>2022-23</t>
  </si>
  <si>
    <t>2023-24</t>
  </si>
  <si>
    <t>2024-25</t>
  </si>
  <si>
    <t>Start date</t>
  </si>
  <si>
    <t>Tax Year</t>
  </si>
  <si>
    <t>Amount</t>
  </si>
  <si>
    <t>Interest</t>
  </si>
  <si>
    <t>Deposit</t>
  </si>
  <si>
    <t>Withdrawal</t>
  </si>
  <si>
    <t>Category</t>
  </si>
  <si>
    <t>interest</t>
  </si>
  <si>
    <t>validate</t>
  </si>
  <si>
    <t>2025-26</t>
  </si>
  <si>
    <t>Account</t>
  </si>
  <si>
    <t>998976130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</si>
</sst>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2"/>
      <color theme="1"/>
      <name val="Aptos Narrow"/>
      <family val="2"/>
      <scheme val="minor"/>
    </font>
    <font>
      <sz val="16"/>
      <color rgb="FF575757"/>
      <name val="Arial"/>
      <family val="2"/>
    </font>
    <font>
      <sz val="16"/>
      <color rgb="FF575757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2" fontId="1" fillId="2" borderId="0" xfId="0" applyNumberFormat="1" applyFont="1" applyFill="1"/>
    <xf numFmtId="0" fontId="0" fillId="2" borderId="0" xfId="0" applyFill="1"/>
    <xf numFmtId="2" fontId="2" fillId="2" borderId="0" xfId="0" applyNumberFormat="1" applyFont="1" applyFill="1"/>
    <xf numFmtId="2" fontId="0" fillId="2" borderId="0" xfId="0" applyNumberFormat="1" applyFill="1"/>
    <xf numFmtId="1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C584-D2DF-FB41-AA64-AF8CC824D38B}">
  <dimension ref="A1:J2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15" bestFit="1" customWidth="1"/>
    <col min="2" max="2" width="15.1640625" style="8" bestFit="1" customWidth="1"/>
    <col min="3" max="3" width="24.5" bestFit="1" customWidth="1"/>
    <col min="4" max="4" width="15.5" style="5" bestFit="1" customWidth="1"/>
    <col min="5" max="5" width="17.6640625" style="5" bestFit="1" customWidth="1"/>
    <col min="6" max="6" width="14.33203125" style="5" bestFit="1" customWidth="1"/>
    <col min="7" max="7" width="14.33203125" style="12" customWidth="1"/>
    <col min="8" max="8" width="14.83203125" style="12" bestFit="1" customWidth="1"/>
    <col min="9" max="9" width="12.6640625" style="10" bestFit="1" customWidth="1"/>
  </cols>
  <sheetData>
    <row r="1" spans="1:10" ht="20" x14ac:dyDescent="0.2">
      <c r="A1" t="s">
        <v>23</v>
      </c>
      <c r="B1" s="6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9" t="s">
        <v>15</v>
      </c>
      <c r="H1" s="9" t="s">
        <v>19</v>
      </c>
      <c r="I1" s="9" t="s">
        <v>14</v>
      </c>
      <c r="J1" s="9" t="s">
        <v>21</v>
      </c>
    </row>
    <row r="2" spans="1:10" ht="20" x14ac:dyDescent="0.2">
      <c r="A2" s="14" t="s">
        <v>24</v>
      </c>
      <c r="B2" s="7">
        <v>45251</v>
      </c>
      <c r="C2" s="2" t="s">
        <v>8</v>
      </c>
      <c r="D2" s="4"/>
      <c r="E2" s="4">
        <v>50</v>
      </c>
      <c r="F2" s="4">
        <v>50.5</v>
      </c>
      <c r="G2" s="11">
        <f t="shared" ref="G2:G4" si="0">D2+E2*-1</f>
        <v>-50</v>
      </c>
      <c r="H2" s="11" t="str">
        <f t="shared" ref="H2" si="1">VLOOKUP(C2, categories, 2, FALSE)</f>
        <v>Withdrawal</v>
      </c>
      <c r="I2" s="10" t="str">
        <f t="shared" ref="I2" si="2">VLOOKUP(B2, taxYears, 2,TRUE)</f>
        <v>2023-24</v>
      </c>
      <c r="J2" t="b">
        <f>F2=SUM(G2:G$4)</f>
        <v>1</v>
      </c>
    </row>
    <row r="3" spans="1:10" ht="20" x14ac:dyDescent="0.2">
      <c r="A3" s="14" t="s">
        <v>24</v>
      </c>
      <c r="B3" s="7">
        <v>44877</v>
      </c>
      <c r="C3" s="2" t="s">
        <v>6</v>
      </c>
      <c r="D3" s="4">
        <v>0.5</v>
      </c>
      <c r="E3" s="4"/>
      <c r="F3" s="4">
        <v>100.5</v>
      </c>
      <c r="G3" s="11">
        <f t="shared" si="0"/>
        <v>0.5</v>
      </c>
      <c r="H3" s="11" t="str">
        <f t="shared" ref="H3:H4" si="3">VLOOKUP(C3, categories, 2, FALSE)</f>
        <v>Interest</v>
      </c>
      <c r="I3" s="10" t="str">
        <f t="shared" ref="I3:I4" si="4">VLOOKUP(B3, taxYears, 2,TRUE)</f>
        <v>2022-23</v>
      </c>
      <c r="J3" t="b">
        <f>F3=SUM(G3:G$4)</f>
        <v>1</v>
      </c>
    </row>
    <row r="4" spans="1:10" ht="20" x14ac:dyDescent="0.2">
      <c r="A4" s="14" t="s">
        <v>24</v>
      </c>
      <c r="B4" s="7">
        <v>44847</v>
      </c>
      <c r="C4" s="2" t="s">
        <v>5</v>
      </c>
      <c r="D4" s="4">
        <v>100</v>
      </c>
      <c r="E4" s="4"/>
      <c r="F4" s="4">
        <v>100</v>
      </c>
      <c r="G4" s="11">
        <f t="shared" si="0"/>
        <v>100</v>
      </c>
      <c r="H4" s="11" t="str">
        <f t="shared" si="3"/>
        <v>Deposit</v>
      </c>
      <c r="I4" s="10" t="str">
        <f t="shared" si="4"/>
        <v>2022-23</v>
      </c>
      <c r="J4" t="b">
        <f>F4=SUM(G4:G$4)</f>
        <v>1</v>
      </c>
    </row>
    <row r="5" spans="1:10" ht="20" x14ac:dyDescent="0.2">
      <c r="G5" s="11"/>
      <c r="H5" s="11"/>
    </row>
    <row r="6" spans="1:10" ht="20" x14ac:dyDescent="0.2">
      <c r="G6" s="11"/>
      <c r="H6" s="11"/>
    </row>
    <row r="7" spans="1:10" ht="20" x14ac:dyDescent="0.2">
      <c r="G7" s="11"/>
      <c r="H7" s="11"/>
    </row>
    <row r="8" spans="1:10" ht="20" x14ac:dyDescent="0.2">
      <c r="G8" s="11"/>
      <c r="H8" s="11"/>
    </row>
    <row r="9" spans="1:10" ht="20" x14ac:dyDescent="0.2">
      <c r="G9" s="11"/>
      <c r="H9" s="11"/>
    </row>
    <row r="10" spans="1:10" ht="20" x14ac:dyDescent="0.2">
      <c r="G10" s="11"/>
      <c r="H10" s="11"/>
    </row>
    <row r="11" spans="1:10" ht="20" x14ac:dyDescent="0.2">
      <c r="G11" s="11"/>
      <c r="H11" s="11"/>
    </row>
    <row r="12" spans="1:10" ht="20" x14ac:dyDescent="0.2">
      <c r="G12" s="11"/>
      <c r="H12" s="11"/>
    </row>
    <row r="13" spans="1:10" ht="20" x14ac:dyDescent="0.2">
      <c r="G13" s="11"/>
      <c r="H13" s="11"/>
    </row>
    <row r="14" spans="1:10" ht="20" x14ac:dyDescent="0.2">
      <c r="G14" s="11"/>
      <c r="H14" s="11"/>
    </row>
    <row r="15" spans="1:10" ht="20" x14ac:dyDescent="0.2">
      <c r="G15" s="11"/>
      <c r="H15" s="11"/>
    </row>
    <row r="16" spans="1:10" ht="20" x14ac:dyDescent="0.2">
      <c r="G16" s="11"/>
      <c r="H16" s="11"/>
    </row>
    <row r="17" spans="7:8" ht="20" x14ac:dyDescent="0.2">
      <c r="G17" s="11"/>
      <c r="H17" s="11"/>
    </row>
    <row r="18" spans="7:8" ht="20" x14ac:dyDescent="0.2">
      <c r="G18" s="11"/>
      <c r="H18" s="11"/>
    </row>
    <row r="19" spans="7:8" ht="20" x14ac:dyDescent="0.2">
      <c r="G19" s="11"/>
      <c r="H19" s="11"/>
    </row>
    <row r="20" spans="7:8" ht="20" x14ac:dyDescent="0.2">
      <c r="G20" s="11"/>
      <c r="H20" s="11"/>
    </row>
    <row r="21" spans="7:8" ht="20" x14ac:dyDescent="0.2">
      <c r="G21" s="11"/>
      <c r="H21" s="11"/>
    </row>
    <row r="22" spans="7:8" ht="20" x14ac:dyDescent="0.2">
      <c r="G22" s="11"/>
      <c r="H22" s="11"/>
    </row>
    <row r="23" spans="7:8" ht="20" x14ac:dyDescent="0.2">
      <c r="G23" s="11"/>
      <c r="H23" s="11"/>
    </row>
    <row r="24" spans="7:8" ht="20" x14ac:dyDescent="0.2">
      <c r="G24" s="11"/>
      <c r="H24" s="11"/>
    </row>
    <row r="25" spans="7:8" ht="20" x14ac:dyDescent="0.2">
      <c r="G25" s="11"/>
      <c r="H25" s="11"/>
    </row>
    <row r="26" spans="7:8" ht="20" x14ac:dyDescent="0.2">
      <c r="G26" s="11"/>
      <c r="H26" s="11"/>
    </row>
    <row r="27" spans="7:8" ht="20" x14ac:dyDescent="0.2">
      <c r="G27" s="11"/>
      <c r="H27" s="11"/>
    </row>
    <row r="28" spans="7:8" ht="20" x14ac:dyDescent="0.2">
      <c r="G28" s="11"/>
      <c r="H28" s="11"/>
    </row>
  </sheetData>
  <autoFilter ref="B1:J4" xr:uid="{37D7C584-D2DF-FB41-AA64-AF8CC824D38B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90C8-0217-4147-BF5D-A51A92F25338}">
  <dimension ref="A1:E5"/>
  <sheetViews>
    <sheetView showGridLines="0" workbookViewId="0">
      <selection activeCell="B6" sqref="B6"/>
    </sheetView>
  </sheetViews>
  <sheetFormatPr baseColWidth="10" defaultRowHeight="16" x14ac:dyDescent="0.2"/>
  <cols>
    <col min="2" max="2" width="10.83203125" style="8"/>
    <col min="4" max="4" width="15.6640625" bestFit="1" customWidth="1"/>
  </cols>
  <sheetData>
    <row r="1" spans="1:5" x14ac:dyDescent="0.2">
      <c r="A1" s="8" t="s">
        <v>13</v>
      </c>
      <c r="B1" t="s">
        <v>9</v>
      </c>
      <c r="D1" t="s">
        <v>1</v>
      </c>
      <c r="E1" s="8" t="s">
        <v>19</v>
      </c>
    </row>
    <row r="2" spans="1:5" x14ac:dyDescent="0.2">
      <c r="A2" s="8">
        <v>44657</v>
      </c>
      <c r="B2" t="s">
        <v>10</v>
      </c>
      <c r="D2" t="s">
        <v>5</v>
      </c>
      <c r="E2" s="8" t="s">
        <v>17</v>
      </c>
    </row>
    <row r="3" spans="1:5" x14ac:dyDescent="0.2">
      <c r="A3" s="8">
        <v>45022</v>
      </c>
      <c r="B3" t="s">
        <v>11</v>
      </c>
      <c r="D3" t="s">
        <v>6</v>
      </c>
      <c r="E3" s="8" t="s">
        <v>16</v>
      </c>
    </row>
    <row r="4" spans="1:5" x14ac:dyDescent="0.2">
      <c r="A4" s="8">
        <v>45388</v>
      </c>
      <c r="B4" t="s">
        <v>12</v>
      </c>
      <c r="D4" t="s">
        <v>7</v>
      </c>
      <c r="E4" s="8" t="s">
        <v>20</v>
      </c>
    </row>
    <row r="5" spans="1:5" x14ac:dyDescent="0.2">
      <c r="A5" s="13">
        <v>45753</v>
      </c>
      <c r="B5" s="8" t="s">
        <v>22</v>
      </c>
      <c r="D5" t="s">
        <v>8</v>
      </c>
      <c r="E5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transactions</vt:lpstr>
      <vt:lpstr>lookups</vt:lpstr>
      <vt:lpstr>categories</vt:lpstr>
      <vt:lpstr>taxYears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Estermann</dc:creator>
  <cp:lastModifiedBy>Mike Estermann</cp:lastModifiedBy>
  <dcterms:created xsi:type="dcterms:W3CDTF">2025-02-02T21:17:25Z</dcterms:created>
  <dcterms:modified xsi:type="dcterms:W3CDTF">2026-01-30T21:30:55Z</dcterms:modified>
</cp:coreProperties>
</file>